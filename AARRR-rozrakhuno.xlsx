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38640" windowHeight="21120" tabRatio="500" firstSheet="0" activeTab="0" autoFilterDateGrouping="1"/>
  </bookViews>
  <sheets>
    <sheet xmlns:r="http://schemas.openxmlformats.org/officeDocument/2006/relationships" name="Розрахунок" sheetId="1" state="visible" r:id="rId1"/>
    <sheet xmlns:r="http://schemas.openxmlformats.org/officeDocument/2006/relationships" name="Опис полів" sheetId="2" state="visible" r:id="rId2"/>
  </sheets>
  <definedNames>
    <definedName name="Activated_Users">Розрахунок!$C$6</definedName>
    <definedName name="Activation_Rate">Розрахунок!$I$4</definedName>
    <definedName name="AOV">Розрахунок!$I$6</definedName>
    <definedName name="ARPPU">Розрахунок!$F$6</definedName>
    <definedName name="ARPU">Розрахунок!$F$7</definedName>
    <definedName name="CAC">Розрахунок!$F$8</definedName>
    <definedName name="Churn_Rate">Розрахунок!$I$12</definedName>
    <definedName name="Conv_Purchase">Розрахунок!$F$5</definedName>
    <definedName name="Cost_Value">Розрахунок!$C$10</definedName>
    <definedName name="DAU">Розрахунок!$C$13</definedName>
    <definedName name="DAU_MAU">Розрахунок!$F$13</definedName>
    <definedName name="Installs">Розрахунок!$C$4</definedName>
    <definedName name="LTV">Розрахунок!$L$12</definedName>
    <definedName name="LTV_CAC">Розрахунок!$O$4</definedName>
    <definedName name="LTV_CAC_Decision">Розрахунок!$O$6</definedName>
    <definedName name="LTV_CAC_Margin">Розрахунок!$O$5</definedName>
    <definedName name="LTV_Margin">Розрахунок!$L$13</definedName>
    <definedName name="Margin_Pct">Розрахунок!$F$10</definedName>
    <definedName name="Marketing_Cost">Розрахунок!$C$5</definedName>
    <definedName name="MAU">Розрахунок!$C$14</definedName>
    <definedName name="Net_Profit">Розрахунок!$F$14</definedName>
    <definedName name="Num_Purchases">Розрахунок!$C$9</definedName>
    <definedName name="Onboarding_Rate">Розрахунок!$F$4</definedName>
    <definedName name="Payback">Розрахунок!$I$14</definedName>
    <definedName name="Paying_Users">Розрахунок!$C$7</definedName>
    <definedName name="Purch_Freq">Розрахунок!$F$11</definedName>
    <definedName name="Retention_Rate">Розрахунок!$F$12</definedName>
    <definedName name="Revenue">Розрахунок!$C$8</definedName>
    <definedName name="ROAS">Розрахунок!$F$9</definedName>
    <definedName name="ROMI">Розрахунок!$I$9</definedName>
    <definedName name="Users_Start">Розрахунок!$C$11</definedName>
    <definedName name="Users_Still">Розрахунок!$C$12</definedName>
    <definedName name="Churn_Max">Розрахунок!$I$17</definedName>
    <definedName name="Retention_Min">Розрахунок!$F$17</definedName>
  </definedNames>
  <calcPr calcId="191029" fullCalcOnLoad="1"/>
</workbook>
</file>

<file path=xl/styles.xml><?xml version="1.0" encoding="utf-8"?>
<styleSheet xmlns="http://schemas.openxmlformats.org/spreadsheetml/2006/main">
  <numFmts count="6">
    <numFmt numFmtId="164" formatCode="0.0%"/>
    <numFmt numFmtId="165" formatCode="\$#,##0"/>
    <numFmt numFmtId="166" formatCode="\$#,##0.00"/>
    <numFmt numFmtId="167" formatCode="0.0"/>
    <numFmt numFmtId="168" formatCode="&quot;$&quot;#,##0.00"/>
    <numFmt numFmtId="169" formatCode="&quot;+$&quot;#,##0.00;&quot;-$&quot;#,##0.00"/>
  </numFmts>
  <fonts count="15">
    <font>
      <name val="Calibri"/>
      <charset val="1"/>
      <family val="2"/>
      <color theme="1"/>
      <sz val="11"/>
    </font>
    <font>
      <name val="Calibri"/>
      <charset val="1"/>
      <b val="1"/>
      <sz val="14"/>
    </font>
    <font>
      <name val="Calibri"/>
      <charset val="1"/>
      <b val="1"/>
      <color rgb="FF1F2421"/>
      <sz val="11"/>
    </font>
    <font>
      <name val="Calibri"/>
      <charset val="1"/>
      <b val="1"/>
      <sz val="11"/>
    </font>
    <font>
      <name val="Calibri"/>
      <charset val="204"/>
      <family val="2"/>
      <b val="1"/>
      <color rgb="FF00B050"/>
      <sz val="11"/>
    </font>
    <font>
      <name val="Calibri"/>
      <charset val="204"/>
      <family val="2"/>
      <b val="1"/>
      <color theme="5" tint="-0.249977111117893"/>
      <sz val="11"/>
    </font>
    <font>
      <name val="Calibri"/>
      <charset val="1"/>
      <family val="2"/>
      <color theme="1" tint="0.499893185216834"/>
      <sz val="11"/>
    </font>
    <font>
      <name val="Calibri"/>
      <charset val="204"/>
      <family val="2"/>
      <b val="1"/>
      <color rgb="FF0070C0"/>
      <sz val="11"/>
    </font>
    <font>
      <name val="Calibri"/>
      <charset val="204"/>
      <family val="2"/>
      <b val="1"/>
      <color theme="9" tint="-0.249977111117893"/>
      <sz val="11"/>
    </font>
    <font>
      <name val="Aptos"/>
      <charset val="1"/>
      <family val="2"/>
      <color theme="1"/>
      <sz val="11"/>
    </font>
    <font>
      <name val="Calibri"/>
      <charset val="1"/>
      <sz val="11"/>
    </font>
    <font>
      <name val="Calibri"/>
      <charset val="1"/>
      <color rgb="FF0000FF"/>
      <sz val="11"/>
    </font>
    <font>
      <name val="Arial"/>
      <charset val="204"/>
      <family val="2"/>
      <color theme="1"/>
      <sz val="11"/>
    </font>
    <font>
      <name val="Arial"/>
      <charset val="204"/>
      <family val="2"/>
      <b val="1"/>
      <color theme="1"/>
      <sz val="11"/>
    </font>
    <font>
      <name val="Calibri"/>
      <charset val="1"/>
      <family val="2"/>
      <color theme="1"/>
      <sz val="9"/>
    </font>
  </fonts>
  <fills count="8">
    <fill>
      <patternFill/>
    </fill>
    <fill>
      <patternFill patternType="gray125"/>
    </fill>
    <fill>
      <patternFill patternType="solid">
        <fgColor rgb="FFE2F2EC"/>
        <bgColor rgb="FFE6F0F8"/>
      </patternFill>
    </fill>
    <fill>
      <patternFill patternType="solid">
        <fgColor rgb="FFE7EDF3"/>
        <bgColor rgb="FFE6F0F8"/>
      </patternFill>
    </fill>
    <fill>
      <patternFill patternType="solid">
        <fgColor rgb="FFFFF8E1"/>
        <bgColor rgb="FFEBF4E3"/>
      </patternFill>
    </fill>
    <fill>
      <patternFill patternType="solid">
        <fgColor rgb="FFE6F0F8"/>
        <bgColor rgb="FFE7EDF3"/>
      </patternFill>
    </fill>
    <fill>
      <patternFill patternType="solid">
        <fgColor rgb="FFEBF4E3"/>
        <bgColor rgb="FFE2F2EC"/>
      </patternFill>
    </fill>
    <fill>
      <patternFill patternType="solid">
        <fgColor rgb="FFFFFF00"/>
        <bgColor rgb="FFFFFF00"/>
      </patternFill>
    </fill>
  </fills>
  <borders count="34">
    <border>
      <left/>
      <right/>
      <top/>
      <bottom/>
      <diagonal/>
    </border>
    <border>
      <left style="medium">
        <color auto="1"/>
      </left>
      <right style="thin">
        <color rgb="FFB0B0B0"/>
      </right>
      <top style="medium">
        <color auto="1"/>
      </top>
      <bottom style="thin">
        <color rgb="FFB0B0B0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/>
      <right style="thin">
        <color rgb="FFB0B0B0"/>
      </right>
      <top style="medium">
        <color auto="1"/>
      </top>
      <bottom style="thin">
        <color rgb="FFB0B0B0"/>
      </bottom>
      <diagonal/>
    </border>
    <border>
      <left style="medium">
        <color auto="1"/>
      </left>
      <right style="thin">
        <color rgb="FFB0B0B0"/>
      </right>
      <top style="thin">
        <color rgb="FFB0B0B0"/>
      </top>
      <bottom style="thin">
        <color rgb="FFB0B0B0"/>
      </bottom>
      <diagonal/>
    </border>
    <border>
      <left style="thin">
        <color rgb="FFB0B0B0"/>
      </left>
      <right style="medium">
        <color auto="1"/>
      </right>
      <top style="thin">
        <color rgb="FFB0B0B0"/>
      </top>
      <bottom style="thin">
        <color rgb="FFB0B0B0"/>
      </bottom>
      <diagonal/>
    </border>
    <border>
      <left style="thin">
        <color rgb="FFB0B0B0"/>
      </left>
      <right style="thin">
        <color rgb="FFB0B0B0"/>
      </right>
      <top style="thin">
        <color rgb="FFB0B0B0"/>
      </top>
      <bottom style="thin">
        <color rgb="FFB0B0B0"/>
      </bottom>
      <diagonal/>
    </border>
    <border>
      <left style="thin">
        <color rgb="FFB0B0B0"/>
      </left>
      <right/>
      <top style="thin">
        <color rgb="FFB0B0B0"/>
      </top>
      <bottom style="thin">
        <color rgb="FFB0B0B0"/>
      </bottom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/>
      <right style="thin">
        <color rgb="FFB0B0B0"/>
      </right>
      <top style="thin">
        <color rgb="FFB0B0B0"/>
      </top>
      <bottom style="thin">
        <color rgb="FFB0B0B0"/>
      </bottom>
      <diagonal/>
    </border>
    <border>
      <left style="thin">
        <color rgb="FFB0B0B0"/>
      </left>
      <right style="medium">
        <color auto="1"/>
      </right>
      <top style="thin">
        <color rgb="FFB0B0B0"/>
      </top>
      <bottom/>
      <diagonal/>
    </border>
    <border>
      <left/>
      <right style="thin">
        <color rgb="FFB0B0B0"/>
      </right>
      <top style="thin">
        <color rgb="FFB0B0B0"/>
      </top>
      <bottom style="medium">
        <color auto="1"/>
      </bottom>
      <diagonal/>
    </border>
    <border>
      <left style="thin">
        <color rgb="FFB0B0B0"/>
      </left>
      <right style="thin">
        <color rgb="FFB0B0B0"/>
      </right>
      <top style="thin">
        <color rgb="FFB0B0B0"/>
      </top>
      <bottom style="medium">
        <color auto="1"/>
      </bottom>
      <diagonal/>
    </border>
    <border>
      <left style="thin">
        <color rgb="FFB0B0B0"/>
      </left>
      <right style="medium">
        <color auto="1"/>
      </right>
      <top style="thin">
        <color rgb="FFB0B0B0"/>
      </top>
      <bottom style="medium">
        <color auto="1"/>
      </bottom>
      <diagonal/>
    </border>
    <border>
      <left style="medium">
        <color auto="1"/>
      </left>
      <right/>
      <top style="thin">
        <color rgb="FFB0B0B0"/>
      </top>
      <bottom style="thin">
        <color rgb="FFB0B0B0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rgb="FFB0B0B0"/>
      </left>
      <right style="medium">
        <color auto="1"/>
      </right>
      <top/>
      <bottom/>
      <diagonal/>
    </border>
    <border>
      <left style="thin">
        <color rgb="FFB0B0B0"/>
      </left>
      <right style="medium">
        <color auto="1"/>
      </right>
      <top/>
      <bottom style="thin">
        <color rgb="FFB0B0B0"/>
      </bottom>
      <diagonal/>
    </border>
    <border>
      <left style="medium">
        <color auto="1"/>
      </left>
      <right style="thin">
        <color rgb="FFB0B0B0"/>
      </right>
      <top style="thin">
        <color rgb="FFB0B0B0"/>
      </top>
      <bottom style="medium">
        <color auto="1"/>
      </bottom>
      <diagonal/>
    </border>
    <border>
      <left style="thin">
        <color rgb="FFB0B0B0"/>
      </left>
      <right/>
      <top style="thin">
        <color rgb="FFB0B0B0"/>
      </top>
      <bottom style="medium">
        <color auto="1"/>
      </bottom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thin">
        <color rgb="FFB0B0B0"/>
      </left>
      <right style="thin">
        <color rgb="FFB0B0B0"/>
      </right>
      <top style="thin">
        <color rgb="FFB0B0B0"/>
      </top>
      <bottom/>
      <diagonal/>
    </border>
    <border>
      <left style="thin">
        <color rgb="FFB0B0B0"/>
      </left>
      <right style="thin">
        <color rgb="FFB0B0B0"/>
      </right>
      <top/>
      <bottom style="thin">
        <color rgb="FFB0B0B0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/>
      <top style="thin">
        <color rgb="FFB0B0B0"/>
      </top>
      <bottom style="thin">
        <color rgb="FFB0B0B0"/>
      </bottom>
      <diagonal/>
    </border>
    <border>
      <left/>
      <right/>
      <top style="medium">
        <color auto="1"/>
      </top>
      <bottom/>
      <diagonal/>
    </border>
    <border>
      <left/>
      <right/>
      <top style="medium">
        <color auto="1"/>
      </top>
      <bottom style="thin">
        <color rgb="FFB0B0B0"/>
      </bottom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/>
      <top style="thin">
        <color rgb="FFB0B0B0"/>
      </top>
      <bottom/>
      <diagonal/>
    </border>
    <border>
      <left/>
      <right style="thin">
        <color rgb="FFB0B0B0"/>
      </right>
      <top style="thin">
        <color rgb="FFB0B0B0"/>
      </top>
      <bottom/>
      <diagonal/>
    </border>
    <border>
      <left/>
      <right style="thin">
        <color rgb="FFB0B0B0"/>
      </right>
      <top style="medium">
        <color auto="1"/>
      </top>
      <bottom/>
      <diagonal/>
    </border>
  </borders>
  <cellStyleXfs count="1">
    <xf numFmtId="0" fontId="0" fillId="0" borderId="0"/>
  </cellStyleXfs>
  <cellXfs count="99">
    <xf numFmtId="0" fontId="0" fillId="0" borderId="0" pivotButton="0" quotePrefix="0" xfId="0"/>
    <xf numFmtId="0" fontId="3" fillId="3" borderId="4" applyAlignment="1" pivotButton="0" quotePrefix="0" xfId="0">
      <alignment horizontal="center" vertical="center" wrapText="1"/>
    </xf>
    <xf numFmtId="0" fontId="3" fillId="3" borderId="5" applyAlignment="1" pivotButton="0" quotePrefix="0" xfId="0">
      <alignment horizontal="center" vertical="center" wrapText="1"/>
    </xf>
    <xf numFmtId="0" fontId="3" fillId="3" borderId="6" applyAlignment="1" pivotButton="0" quotePrefix="0" xfId="0">
      <alignment horizontal="center" vertical="center" wrapText="1"/>
    </xf>
    <xf numFmtId="0" fontId="3" fillId="3" borderId="7" applyAlignment="1" pivotButton="0" quotePrefix="0" xfId="0">
      <alignment horizontal="center" vertical="center" wrapText="1"/>
    </xf>
    <xf numFmtId="0" fontId="3" fillId="3" borderId="8" applyAlignment="1" pivotButton="0" quotePrefix="0" xfId="0">
      <alignment horizontal="center" vertical="center" wrapText="1"/>
    </xf>
    <xf numFmtId="0" fontId="3" fillId="3" borderId="0" applyAlignment="1" pivotButton="0" quotePrefix="0" xfId="0">
      <alignment horizontal="center" vertical="center" wrapText="1"/>
    </xf>
    <xf numFmtId="0" fontId="3" fillId="3" borderId="9" applyAlignment="1" pivotButton="0" quotePrefix="0" xfId="0">
      <alignment horizontal="center" vertical="center" wrapText="1"/>
    </xf>
    <xf numFmtId="0" fontId="3" fillId="3" borderId="10" applyAlignment="1" pivotButton="0" quotePrefix="0" xfId="0">
      <alignment horizontal="center" vertical="center" wrapText="1"/>
    </xf>
    <xf numFmtId="0" fontId="0" fillId="0" borderId="4" applyAlignment="1" pivotButton="0" quotePrefix="0" xfId="0">
      <alignment vertical="center" wrapText="1"/>
    </xf>
    <xf numFmtId="3" fontId="0" fillId="4" borderId="11" applyAlignment="1" pivotButton="0" quotePrefix="0" xfId="0">
      <alignment horizontal="right" vertical="center"/>
    </xf>
    <xf numFmtId="164" fontId="4" fillId="5" borderId="6" applyAlignment="1" pivotButton="0" quotePrefix="0" xfId="0">
      <alignment horizontal="right" vertical="center"/>
    </xf>
    <xf numFmtId="0" fontId="0" fillId="0" borderId="7" applyAlignment="1" pivotButton="0" quotePrefix="0" xfId="0">
      <alignment vertical="center" wrapText="1"/>
    </xf>
    <xf numFmtId="0" fontId="0" fillId="0" borderId="8" applyAlignment="1" pivotButton="0" quotePrefix="0" xfId="0">
      <alignment vertical="center" wrapText="1"/>
    </xf>
    <xf numFmtId="164" fontId="4" fillId="5" borderId="0" applyAlignment="1" pivotButton="0" quotePrefix="0" xfId="0">
      <alignment horizontal="right" vertical="center"/>
    </xf>
    <xf numFmtId="0" fontId="0" fillId="0" borderId="9" applyAlignment="1" pivotButton="0" quotePrefix="0" xfId="0">
      <alignment vertical="center" wrapText="1"/>
    </xf>
    <xf numFmtId="0" fontId="0" fillId="0" borderId="8" pivotButton="0" quotePrefix="0" xfId="0"/>
    <xf numFmtId="0" fontId="0" fillId="0" borderId="9" pivotButton="0" quotePrefix="0" xfId="0"/>
    <xf numFmtId="0" fontId="0" fillId="0" borderId="12" applyAlignment="1" pivotButton="0" quotePrefix="0" xfId="0">
      <alignment vertical="center" wrapText="1"/>
    </xf>
    <xf numFmtId="2" fontId="0" fillId="6" borderId="13" applyAlignment="1" pivotButton="0" quotePrefix="0" xfId="0">
      <alignment horizontal="right" vertical="center"/>
    </xf>
    <xf numFmtId="0" fontId="0" fillId="0" borderId="14" applyAlignment="1" pivotButton="0" quotePrefix="0" xfId="0">
      <alignment vertical="center" wrapText="1"/>
    </xf>
    <xf numFmtId="0" fontId="0" fillId="0" borderId="15" applyAlignment="1" pivotButton="0" quotePrefix="0" xfId="0">
      <alignment vertical="center" wrapText="1"/>
    </xf>
    <xf numFmtId="165" fontId="0" fillId="4" borderId="16" applyAlignment="1" pivotButton="0" quotePrefix="0" xfId="0">
      <alignment horizontal="right" vertical="center"/>
    </xf>
    <xf numFmtId="164" fontId="0" fillId="5" borderId="6" applyAlignment="1" pivotButton="0" quotePrefix="0" xfId="0">
      <alignment horizontal="right" vertical="center"/>
    </xf>
    <xf numFmtId="3" fontId="0" fillId="4" borderId="17" applyAlignment="1" pivotButton="0" quotePrefix="0" xfId="0">
      <alignment horizontal="right" vertical="center"/>
    </xf>
    <xf numFmtId="166" fontId="5" fillId="6" borderId="6" applyAlignment="1" pivotButton="0" quotePrefix="0" xfId="0">
      <alignment horizontal="right" vertical="center"/>
    </xf>
    <xf numFmtId="166" fontId="0" fillId="5" borderId="0" applyAlignment="1" pivotButton="0" quotePrefix="0" xfId="0">
      <alignment horizontal="right" vertical="center"/>
    </xf>
    <xf numFmtId="0" fontId="0" fillId="7" borderId="0" pivotButton="0" quotePrefix="0" xfId="0"/>
    <xf numFmtId="3" fontId="5" fillId="4" borderId="16" applyAlignment="1" pivotButton="0" quotePrefix="0" xfId="0">
      <alignment horizontal="right" vertical="center"/>
    </xf>
    <xf numFmtId="0" fontId="6" fillId="0" borderId="4" applyAlignment="1" pivotButton="0" quotePrefix="0" xfId="0">
      <alignment vertical="center" wrapText="1"/>
    </xf>
    <xf numFmtId="166" fontId="6" fillId="5" borderId="6" applyAlignment="1" pivotButton="0" quotePrefix="0" xfId="0">
      <alignment horizontal="right" vertical="center"/>
    </xf>
    <xf numFmtId="0" fontId="6" fillId="0" borderId="7" applyAlignment="1" pivotButton="0" quotePrefix="0" xfId="0">
      <alignment vertical="center" wrapText="1"/>
    </xf>
    <xf numFmtId="165" fontId="5" fillId="4" borderId="16" applyAlignment="1" pivotButton="0" quotePrefix="0" xfId="0">
      <alignment horizontal="right" vertical="center"/>
    </xf>
    <xf numFmtId="166" fontId="7" fillId="6" borderId="6" applyAlignment="1" pivotButton="0" quotePrefix="0" xfId="0">
      <alignment horizontal="right" vertical="center"/>
    </xf>
    <xf numFmtId="3" fontId="0" fillId="4" borderId="18" applyAlignment="1" pivotButton="0" quotePrefix="0" xfId="0">
      <alignment horizontal="right" vertical="center"/>
    </xf>
    <xf numFmtId="2" fontId="0" fillId="5" borderId="6" applyAlignment="1" pivotButton="0" quotePrefix="0" xfId="0">
      <alignment horizontal="right" vertical="center"/>
    </xf>
    <xf numFmtId="164" fontId="0" fillId="5" borderId="0" applyAlignment="1" pivotButton="0" quotePrefix="0" xfId="0">
      <alignment horizontal="right" vertical="center"/>
    </xf>
    <xf numFmtId="165" fontId="0" fillId="4" borderId="5" applyAlignment="1" pivotButton="0" quotePrefix="0" xfId="0">
      <alignment horizontal="right" vertical="center"/>
    </xf>
    <xf numFmtId="3" fontId="8" fillId="4" borderId="5" applyAlignment="1" pivotButton="0" quotePrefix="0" xfId="0">
      <alignment horizontal="right" vertical="center"/>
    </xf>
    <xf numFmtId="164" fontId="8" fillId="6" borderId="6" applyAlignment="1" pivotButton="0" quotePrefix="0" xfId="0">
      <alignment horizontal="right" vertical="center"/>
    </xf>
    <xf numFmtId="164" fontId="8" fillId="6" borderId="0" applyAlignment="1" pivotButton="0" quotePrefix="0" xfId="0">
      <alignment horizontal="right" vertical="center"/>
    </xf>
    <xf numFmtId="0" fontId="0" fillId="0" borderId="19" applyAlignment="1" pivotButton="0" quotePrefix="0" xfId="0">
      <alignment vertical="center" wrapText="1"/>
    </xf>
    <xf numFmtId="166" fontId="0" fillId="6" borderId="13" applyAlignment="1" pivotButton="0" quotePrefix="0" xfId="0">
      <alignment horizontal="right" vertical="center"/>
    </xf>
    <xf numFmtId="3" fontId="0" fillId="4" borderId="5" applyAlignment="1" pivotButton="0" quotePrefix="0" xfId="0">
      <alignment horizontal="right" vertical="center"/>
    </xf>
    <xf numFmtId="2" fontId="0" fillId="5" borderId="13" applyAlignment="1" pivotButton="0" quotePrefix="0" xfId="0">
      <alignment horizontal="right" vertical="center"/>
    </xf>
    <xf numFmtId="0" fontId="0" fillId="0" borderId="20" applyAlignment="1" pivotButton="0" quotePrefix="0" xfId="0">
      <alignment vertical="center" wrapText="1"/>
    </xf>
    <xf numFmtId="0" fontId="0" fillId="0" borderId="21" pivotButton="0" quotePrefix="0" xfId="0"/>
    <xf numFmtId="0" fontId="0" fillId="0" borderId="22" pivotButton="0" quotePrefix="0" xfId="0"/>
    <xf numFmtId="0" fontId="0" fillId="0" borderId="23" pivotButton="0" quotePrefix="0" xfId="0"/>
    <xf numFmtId="3" fontId="0" fillId="4" borderId="14" applyAlignment="1" pivotButton="0" quotePrefix="0" xfId="0">
      <alignment horizontal="right" vertical="center"/>
    </xf>
    <xf numFmtId="0" fontId="0" fillId="0" borderId="0" applyAlignment="1" pivotButton="0" quotePrefix="0" xfId="0">
      <alignment vertical="center" wrapText="1"/>
    </xf>
    <xf numFmtId="0" fontId="0" fillId="0" borderId="6" pivotButton="0" quotePrefix="0" xfId="0"/>
    <xf numFmtId="165" fontId="0" fillId="4" borderId="6" pivotButton="0" quotePrefix="0" xfId="0"/>
    <xf numFmtId="3" fontId="0" fillId="4" borderId="6" pivotButton="0" quotePrefix="0" xfId="0"/>
    <xf numFmtId="166" fontId="0" fillId="5" borderId="6" pivotButton="0" quotePrefix="0" xfId="0"/>
    <xf numFmtId="2" fontId="0" fillId="5" borderId="6" pivotButton="0" quotePrefix="0" xfId="0"/>
    <xf numFmtId="165" fontId="0" fillId="4" borderId="24" pivotButton="0" quotePrefix="0" xfId="0"/>
    <xf numFmtId="3" fontId="0" fillId="4" borderId="24" pivotButton="0" quotePrefix="0" xfId="0"/>
    <xf numFmtId="0" fontId="3" fillId="0" borderId="7" pivotButton="0" quotePrefix="0" xfId="0"/>
    <xf numFmtId="165" fontId="3" fillId="0" borderId="16" pivotButton="0" quotePrefix="0" xfId="0"/>
    <xf numFmtId="3" fontId="3" fillId="0" borderId="16" pivotButton="0" quotePrefix="0" xfId="0"/>
    <xf numFmtId="0" fontId="0" fillId="0" borderId="6" applyAlignment="1" pivotButton="0" quotePrefix="0" xfId="0">
      <alignment vertical="center" wrapText="1"/>
    </xf>
    <xf numFmtId="165" fontId="0" fillId="0" borderId="25" pivotButton="0" quotePrefix="0" xfId="0"/>
    <xf numFmtId="3" fontId="0" fillId="0" borderId="25" pivotButton="0" quotePrefix="0" xfId="0"/>
    <xf numFmtId="0" fontId="1" fillId="0" borderId="0" pivotButton="0" quotePrefix="0" xfId="0"/>
    <xf numFmtId="0" fontId="3" fillId="3" borderId="26" applyAlignment="1" pivotButton="0" quotePrefix="0" xfId="0">
      <alignment vertical="top" wrapText="1"/>
    </xf>
    <xf numFmtId="0" fontId="10" fillId="0" borderId="26" applyAlignment="1" pivotButton="0" quotePrefix="0" xfId="0">
      <alignment vertical="top" wrapText="1"/>
    </xf>
    <xf numFmtId="0" fontId="3" fillId="0" borderId="0" pivotButton="0" quotePrefix="0" xfId="0"/>
    <xf numFmtId="0" fontId="3" fillId="0" borderId="26" applyAlignment="1" pivotButton="0" quotePrefix="0" xfId="0">
      <alignment vertical="top" wrapText="1"/>
    </xf>
    <xf numFmtId="0" fontId="11" fillId="0" borderId="26" applyAlignment="1" pivotButton="0" quotePrefix="0" xfId="0">
      <alignment vertical="top" wrapText="1"/>
    </xf>
    <xf numFmtId="167" fontId="10" fillId="0" borderId="26" applyAlignment="1" pivotButton="0" quotePrefix="0" xfId="0">
      <alignment vertical="top" wrapText="1"/>
    </xf>
    <xf numFmtId="0" fontId="12" fillId="0" borderId="0" applyAlignment="1" pivotButton="0" quotePrefix="0" xfId="0">
      <alignment vertical="center"/>
    </xf>
    <xf numFmtId="0" fontId="0" fillId="0" borderId="0" applyAlignment="1" pivotButton="0" quotePrefix="0" xfId="0">
      <alignment horizontal="left" vertical="center" indent="1"/>
    </xf>
    <xf numFmtId="0" fontId="13" fillId="0" borderId="0" applyAlignment="1" pivotButton="0" quotePrefix="0" xfId="0">
      <alignment horizontal="left" vertical="center" indent="1"/>
    </xf>
    <xf numFmtId="0" fontId="12" fillId="0" borderId="0" applyAlignment="1" pivotButton="0" quotePrefix="0" xfId="0">
      <alignment horizontal="left" vertical="center" indent="1"/>
    </xf>
    <xf numFmtId="0" fontId="12" fillId="0" borderId="0" applyAlignment="1" pivotButton="0" quotePrefix="0" xfId="0">
      <alignment horizontal="left" vertical="center" indent="2"/>
    </xf>
    <xf numFmtId="0" fontId="0" fillId="0" borderId="0" applyAlignment="1" pivotButton="0" quotePrefix="0" xfId="0">
      <alignment horizontal="left" vertical="center" indent="2"/>
    </xf>
    <xf numFmtId="0" fontId="0" fillId="0" borderId="0" pivotButton="0" quotePrefix="0" xfId="0"/>
    <xf numFmtId="167" fontId="0" fillId="6" borderId="13" applyAlignment="1" pivotButton="0" quotePrefix="0" xfId="0">
      <alignment horizontal="right" vertical="center"/>
    </xf>
    <xf numFmtId="168" fontId="0" fillId="6" borderId="13" applyAlignment="1" pivotButton="0" quotePrefix="0" xfId="0">
      <alignment horizontal="right" vertical="center"/>
    </xf>
    <xf numFmtId="169" fontId="0" fillId="6" borderId="13" applyAlignment="1" pivotButton="0" quotePrefix="0" xfId="0">
      <alignment horizontal="right" vertical="center"/>
    </xf>
    <xf numFmtId="0" fontId="9" fillId="0" borderId="0" applyAlignment="1" pivotButton="0" quotePrefix="0" xfId="0">
      <alignment vertical="center" wrapText="1"/>
    </xf>
    <xf numFmtId="0" fontId="0" fillId="0" borderId="0" pivotButton="0" quotePrefix="0" xfId="0"/>
    <xf numFmtId="0" fontId="9" fillId="0" borderId="0" applyAlignment="1" pivotButton="0" quotePrefix="0" xfId="0">
      <alignment wrapText="1"/>
    </xf>
    <xf numFmtId="0" fontId="14" fillId="0" borderId="0" applyAlignment="1" pivotButton="0" quotePrefix="0" xfId="0">
      <alignment vertical="top" wrapText="1"/>
    </xf>
    <xf numFmtId="0" fontId="1" fillId="0" borderId="0" applyAlignment="1" pivotButton="0" quotePrefix="0" xfId="0">
      <alignment horizontal="center" vertical="center"/>
    </xf>
    <xf numFmtId="0" fontId="2" fillId="2" borderId="2" applyAlignment="1" pivotButton="0" quotePrefix="0" xfId="0">
      <alignment horizontal="center" vertical="center" wrapText="1"/>
    </xf>
    <xf numFmtId="0" fontId="0" fillId="0" borderId="28" pivotButton="0" quotePrefix="0" xfId="0"/>
    <xf numFmtId="0" fontId="0" fillId="0" borderId="30" pivotButton="0" quotePrefix="0" xfId="0"/>
    <xf numFmtId="0" fontId="2" fillId="2" borderId="6" applyAlignment="1" pivotButton="0" quotePrefix="0" xfId="0">
      <alignment horizontal="center" vertical="center" wrapText="1"/>
    </xf>
    <xf numFmtId="0" fontId="0" fillId="0" borderId="27" pivotButton="0" quotePrefix="0" xfId="0"/>
    <xf numFmtId="0" fontId="0" fillId="0" borderId="10" pivotButton="0" quotePrefix="0" xfId="0"/>
    <xf numFmtId="0" fontId="2" fillId="2" borderId="1" applyAlignment="1" pivotButton="0" quotePrefix="0" xfId="0">
      <alignment horizontal="center" vertical="center" wrapText="1"/>
    </xf>
    <xf numFmtId="0" fontId="0" fillId="0" borderId="29" pivotButton="0" quotePrefix="0" xfId="0"/>
    <xf numFmtId="0" fontId="0" fillId="0" borderId="3" pivotButton="0" quotePrefix="0" xfId="0"/>
    <xf numFmtId="0" fontId="2" fillId="2" borderId="3" applyAlignment="1" pivotButton="0" quotePrefix="0" xfId="0">
      <alignment horizontal="center" vertical="center" wrapText="1"/>
    </xf>
    <xf numFmtId="0" fontId="10" fillId="0" borderId="0" applyAlignment="1" pivotButton="0" quotePrefix="0" xfId="0">
      <alignment vertical="top" wrapText="1"/>
    </xf>
    <xf numFmtId="168" fontId="0" fillId="6" borderId="13" applyAlignment="1" pivotButton="0" quotePrefix="0" xfId="0">
      <alignment horizontal="right" vertical="center"/>
    </xf>
    <xf numFmtId="169" fontId="0" fillId="6" borderId="13" applyAlignment="1" pivotButton="0" quotePrefix="0" xfId="0">
      <alignment horizontal="right" vertic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FF000000"/>
      <rgbColor rgb="FFEBF4E3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7F7F7F"/>
      <rgbColor rgb="FF9999FF"/>
      <rgbColor rgb="FF953735"/>
      <rgbColor rgb="FFFFF8E1"/>
      <rgbColor rgb="FFE2F2EC"/>
      <rgbColor rgb="FF660066"/>
      <rgbColor rgb="FFFF8080"/>
      <rgbColor rgb="FF0070C0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6F0F8"/>
      <rgbColor rgb="FFE7EDF3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E46C0A"/>
      <rgbColor rgb="FF666699"/>
      <rgbColor rgb="FFB0B0B0"/>
      <rgbColor rgb="FF003366"/>
      <rgbColor rgb="FF00B050"/>
      <rgbColor rgb="FF003300"/>
      <rgbColor rgb="FF333300"/>
      <rgbColor rgb="FF993300"/>
      <rgbColor rgb="FF993366"/>
      <rgbColor rgb="FF333399"/>
      <rgbColor rgb="FF1F2421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omments/comment1.xml><?xml version="1.0" encoding="utf-8"?>
<comments xmlns="http://schemas.openxmlformats.org/spreadsheetml/2006/main">
  <authors>
    <author>Unknown Author</author>
  </authors>
  <commentList>
    <comment ref="H4" authorId="0" shapeId="0">
      <text>
        <t>Білдьше - краще</t>
      </text>
    </comment>
    <comment ref="E6" authorId="0" shapeId="0">
      <text>
        <t>Чим більше тим коаще</t>
      </text>
    </comment>
    <comment ref="E8" authorId="0" shapeId="0">
      <text>
        <t xml:space="preserve">CAC чим менше тим краще
</t>
      </text>
    </comment>
    <comment ref="B9" authorId="0" shapeId="0">
      <text>
        <t>Скільки покупок (транзакцій) зробила когорта. Може бути БІЛЬШЕ, ніж Paying Users, якщо хтось купує кілька разів.</t>
      </text>
    </comment>
    <comment ref="E9" authorId="0" shapeId="0">
      <text>
        <t xml:space="preserve">якщо 1 і менше
 витрати дорівнюють прибутку
</t>
      </text>
    </comment>
    <comment ref="H9" authorId="0" shapeId="0">
      <text>
        <t>Повинно бути додатне число. Більше - краще</t>
      </text>
    </comment>
    <comment ref="B11" authorId="0" shapeId="0">
      <text>
        <t>Рахуються ЛЮДИ, а не покупки. Усі, хто купив у день 0; кожна людина один раз. Це перший з двох вимірів для Retention і Churn.</t>
      </text>
    </comment>
    <comment ref="B12" authorId="0" shapeId="0">
      <text>
        <t>Рахуються ЛЮДИ, а не покупки. Скільки з когорти Day 0 купили ще раз протягом 30 днів; кожна людина один раз, навіть якщо купила кілька разів. Не більше, ніж Paying Users, Day 0.</t>
      </text>
    </comment>
    <comment ref="E12" authorId="0" shapeId="0">
      <text>
        <t>Retention rate чим більше тим краще</t>
      </text>
    </comment>
    <comment ref="H12" authorId="0" shapeId="0">
      <text>
        <t>чим меншн тим краще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B1:P38"/>
  <sheetViews>
    <sheetView tabSelected="1" zoomScaleNormal="100" workbookViewId="0">
      <pane xSplit="3" ySplit="2" topLeftCell="D9" activePane="bottomRight" state="frozen"/>
      <selection pane="topRight" activeCell="D1" sqref="D1"/>
      <selection pane="bottomLeft" activeCell="A3" sqref="A3"/>
      <selection pane="bottomRight" activeCell="I36" sqref="I36"/>
    </sheetView>
  </sheetViews>
  <sheetFormatPr baseColWidth="8" defaultColWidth="8.7109375" defaultRowHeight="15"/>
  <cols>
    <col width="34" customWidth="1" style="82" min="2" max="2"/>
    <col width="18.140625" customWidth="1" style="82" min="3" max="3"/>
    <col width="13.7109375" customWidth="1" style="82" min="4" max="4"/>
    <col width="25.5703125" customWidth="1" style="82" min="5" max="5"/>
    <col width="16" customWidth="1" style="82" min="6" max="6"/>
    <col width="33.7109375" customWidth="1" style="82" min="7" max="7"/>
    <col width="28" customWidth="1" style="82" min="8" max="8"/>
    <col width="16" customWidth="1" style="82" min="9" max="9"/>
    <col width="40" customWidth="1" style="82" min="10" max="10"/>
    <col width="9.5703125" customWidth="1" style="82" min="11" max="12"/>
    <col width="40" customWidth="1" style="82" min="13" max="13"/>
    <col width="9.5703125" customWidth="1" style="82" min="14" max="15"/>
    <col width="16.28515625" customWidth="1" style="82" min="16" max="16"/>
  </cols>
  <sheetData>
    <row r="1" ht="27.75" customHeight="1" s="82">
      <c r="B1" s="85" t="inlineStr">
        <is>
          <t>AARRR + юніт-економіка — калькулятор рішення про масштабування (аналог index.html)</t>
        </is>
      </c>
    </row>
    <row r="2" ht="15" customHeight="1" s="82">
      <c r="B2" s="92" t="inlineStr">
        <is>
          <t>ВХІДНІ ДАНІ (заповнювати сюди)</t>
        </is>
      </c>
      <c r="C2" s="94" t="n"/>
      <c r="E2" s="92" t="inlineStr">
        <is>
          <t>РІВЕНЬ 1 · базові розрахунки (тільки з вхідних)</t>
        </is>
      </c>
      <c r="F2" s="93" t="n"/>
      <c r="G2" s="94" t="n"/>
      <c r="H2" s="86" t="inlineStr">
        <is>
          <t>РІВЕНЬ 2 · залежать від Рівня 1</t>
        </is>
      </c>
      <c r="I2" s="87" t="n"/>
      <c r="J2" s="88" t="n"/>
      <c r="K2" s="92" t="inlineStr">
        <is>
          <t>РІВЕНЬ 3</t>
        </is>
      </c>
      <c r="L2" s="93" t="n"/>
      <c r="M2" s="94" t="n"/>
      <c r="N2" s="95" t="inlineStr">
        <is>
          <t>РІВЕНЬ 4 · рішення</t>
        </is>
      </c>
      <c r="O2" s="93" t="n"/>
      <c r="P2" s="94" t="n"/>
    </row>
    <row r="3">
      <c r="B3" s="1" t="inlineStr">
        <is>
          <t>Показник</t>
        </is>
      </c>
      <c r="C3" s="2" t="inlineStr">
        <is>
          <t>Значення</t>
        </is>
      </c>
      <c r="E3" s="1" t="inlineStr">
        <is>
          <t>Показник</t>
        </is>
      </c>
      <c r="F3" s="3" t="inlineStr">
        <is>
          <t>Значення</t>
        </is>
      </c>
      <c r="G3" s="4" t="inlineStr">
        <is>
          <t>Формула (текст)</t>
        </is>
      </c>
      <c r="H3" s="5" t="inlineStr">
        <is>
          <t>Показник</t>
        </is>
      </c>
      <c r="I3" s="6" t="inlineStr">
        <is>
          <t>Значення</t>
        </is>
      </c>
      <c r="J3" s="7" t="inlineStr">
        <is>
          <t>Формула (текст)</t>
        </is>
      </c>
      <c r="K3" s="1" t="inlineStr">
        <is>
          <t>Показник</t>
        </is>
      </c>
      <c r="L3" s="3" t="inlineStr">
        <is>
          <t>Значення</t>
        </is>
      </c>
      <c r="M3" s="2" t="inlineStr">
        <is>
          <t>Формула (текст)</t>
        </is>
      </c>
      <c r="N3" s="8" t="inlineStr">
        <is>
          <t>Показник</t>
        </is>
      </c>
      <c r="O3" s="3" t="inlineStr">
        <is>
          <t>Значення</t>
        </is>
      </c>
      <c r="P3" s="2" t="inlineStr">
        <is>
          <t>Формула (текст)</t>
        </is>
      </c>
    </row>
    <row r="4" ht="15.75" customHeight="1" s="82">
      <c r="B4" s="9" t="inlineStr">
        <is>
          <t>Installs</t>
        </is>
      </c>
      <c r="C4" s="10" t="n">
        <v>10000</v>
      </c>
      <c r="E4" s="9" t="inlineStr">
        <is>
          <t>Onboarding completion</t>
        </is>
      </c>
      <c r="F4" s="11">
        <f>IFERROR(Activated_Users/Installs,"")</f>
        <v/>
      </c>
      <c r="G4" s="12" t="inlineStr">
        <is>
          <t>Activated_Users / Installs</t>
        </is>
      </c>
      <c r="H4" s="13" t="inlineStr">
        <is>
          <t>Activation rate</t>
        </is>
      </c>
      <c r="I4" s="14">
        <f>IF(Onboarding_Rate="","",Onboarding_Rate)</f>
        <v/>
      </c>
      <c r="J4" s="15">
        <f>G4</f>
        <v/>
      </c>
      <c r="K4" s="16" t="n"/>
      <c r="M4" s="17" t="n"/>
      <c r="N4" s="18" t="inlineStr">
        <is>
          <t>LTV / CAC (за виручкою)</t>
        </is>
      </c>
      <c r="O4" s="19">
        <f>IFERROR(LTV/CAC,"")</f>
        <v/>
      </c>
      <c r="P4" s="20" t="inlineStr">
        <is>
          <t>LTV / CAC</t>
        </is>
      </c>
    </row>
    <row r="5" ht="45" customHeight="1" s="82">
      <c r="B5" s="21" t="inlineStr">
        <is>
          <t>Marketing Cost, $</t>
        </is>
      </c>
      <c r="C5" s="22" t="n">
        <v>5000</v>
      </c>
      <c r="E5" s="9" t="inlineStr">
        <is>
          <t>Conversion rate (purchase)</t>
        </is>
      </c>
      <c r="F5" s="23">
        <f>IFERROR(Paying_Users/Activated_Users,"")</f>
        <v/>
      </c>
      <c r="G5" s="12" t="inlineStr">
        <is>
          <t>Paying_Users / Activated_Users</t>
        </is>
      </c>
      <c r="H5" s="16" t="n"/>
      <c r="J5" s="17" t="n"/>
      <c r="K5" s="16" t="n"/>
      <c r="M5" s="17" t="n"/>
      <c r="N5" s="18" t="inlineStr">
        <is>
          <t>LTV / CAC (за маржею)</t>
        </is>
      </c>
      <c r="O5" s="78">
        <f>IFERROR(LTV_Margin/CAC,"")</f>
        <v/>
      </c>
      <c r="P5" s="20" t="inlineStr">
        <is>
          <t>LTV (за маржею) / CAC</t>
        </is>
      </c>
    </row>
    <row r="6" ht="45.75" customHeight="1" s="82">
      <c r="B6" s="9" t="inlineStr">
        <is>
          <t>Activated users</t>
        </is>
      </c>
      <c r="C6" s="24" t="n">
        <v>4000</v>
      </c>
      <c r="E6" s="9" t="inlineStr">
        <is>
          <t>ARPPU, $</t>
        </is>
      </c>
      <c r="F6" s="25">
        <f>IFERROR(Revenue/Paying_Users,"")</f>
        <v/>
      </c>
      <c r="G6" s="12" t="inlineStr">
        <is>
          <t>Revenue / Paying_Users</t>
        </is>
      </c>
      <c r="H6" s="13" t="inlineStr">
        <is>
          <t>AOV (середній чек), $</t>
        </is>
      </c>
      <c r="I6" s="26">
        <f>IFERROR(Revenue/Num_Purchases,ARPPU)</f>
        <v/>
      </c>
      <c r="J6" s="15" t="inlineStr">
        <is>
          <t>Revenue(сумарний) / Num_Purchases; якщо Purchases порожнє -&gt; ARPPU (припущення: одна покупка)</t>
        </is>
      </c>
      <c r="K6" s="16" t="n"/>
      <c r="M6" s="17" t="n"/>
      <c r="N6" s="18" t="inlineStr">
        <is>
          <t>LTV / CAC для рішення</t>
        </is>
      </c>
      <c r="O6" s="78">
        <f>IF(LTV_CAC_Margin&lt;&gt;"",LTV_CAC_Margin,LTV_CAC)</f>
        <v/>
      </c>
      <c r="P6" s="20" t="inlineStr">
        <is>
          <t>за маржею, якщо введено Cost</t>
        </is>
      </c>
    </row>
    <row r="7" ht="45" customHeight="1" s="82" thickBot="1">
      <c r="B7" s="21" t="inlineStr">
        <is>
          <t>Paying Users</t>
        </is>
      </c>
      <c r="C7" s="28" t="n">
        <v>400</v>
      </c>
      <c r="E7" s="29" t="inlineStr">
        <is>
          <t>ARPU, $</t>
        </is>
      </c>
      <c r="F7" s="30">
        <f>IFERROR(Revenue/Installs,"")</f>
        <v/>
      </c>
      <c r="G7" s="31" t="inlineStr">
        <is>
          <t>Revenue / Installs  (припущення: Users = Installs)</t>
        </is>
      </c>
      <c r="H7" s="16" t="n"/>
      <c r="J7" s="17" t="n"/>
      <c r="K7" s="16" t="n"/>
      <c r="M7" s="17" t="n"/>
      <c r="N7" s="18" t="inlineStr">
        <is>
          <t>Рішення про масштабування</t>
        </is>
      </c>
      <c r="O7" s="27">
        <f>IF(LTV_CAC_Decision="","Рішення ще не можна ухвалити",_xlfn.IFS(LTV_CAC_Decision&lt;1,"Не масштабувати: кожен залучений користувач збитковий",LTV_CAC_Decision&lt;2,"Не масштабувати: спершу покращити утримання, чек або CAC",LTV_CAC_Decision&lt;3,"Масштабувати обережно, малими кроками",LTV_CAC_Decision&lt;5,"Можна масштабувати",TRUE(),"Дуже вигідно: можна швидко збільшувати бюджет"))</f>
        <v/>
      </c>
    </row>
    <row r="8" ht="60" customHeight="1" s="82" thickBot="1">
      <c r="B8" s="21" t="inlineStr">
        <is>
          <t>Revenue, $ (сумарний дохід когорти за 30 днів: перші + повторні)</t>
        </is>
      </c>
      <c r="C8" s="32" t="n">
        <v>8000</v>
      </c>
      <c r="E8" s="9" t="inlineStr">
        <is>
          <t>CAC, $</t>
        </is>
      </c>
      <c r="F8" s="33">
        <f>IFERROR(Marketing_Cost/Paying_Users,"")</f>
        <v/>
      </c>
      <c r="G8" s="12" t="inlineStr">
        <is>
          <t>Marketing_Cost / Paying_Users</t>
        </is>
      </c>
      <c r="H8" s="16" t="n"/>
      <c r="J8" s="17" t="n"/>
      <c r="K8" s="16" t="n"/>
      <c r="M8" s="17" t="n"/>
      <c r="N8" s="18" t="inlineStr">
        <is>
          <t>Примітка про LTV</t>
        </is>
      </c>
      <c r="O8" s="20">
        <f>IF(AND(LTV_CAC_Margin="",LTV_CAC&lt;&gt;""),"LTV за виручкою, може бути завищений. Введіть Cost.","")</f>
        <v/>
      </c>
    </row>
    <row r="9" ht="45" customHeight="1" s="82">
      <c r="B9" s="9" t="inlineStr">
        <is>
          <t>Number of Purchases (усі покупки когорти за 30 днів, шт.)</t>
        </is>
      </c>
      <c r="C9" s="34" t="n">
        <v>400</v>
      </c>
      <c r="E9" s="9" t="inlineStr">
        <is>
          <t>ROAS</t>
        </is>
      </c>
      <c r="F9" s="35">
        <f>IFERROR(Revenue/Marketing_Cost,"")</f>
        <v/>
      </c>
      <c r="G9" s="12" t="inlineStr">
        <is>
          <t>Revenue / Marketing_Cost  (припущення: Ad Spend = Marketing Cost)</t>
        </is>
      </c>
      <c r="H9" s="13" t="inlineStr">
        <is>
          <t>ROMI</t>
        </is>
      </c>
      <c r="I9" s="36">
        <f t="array" ref="I9">IF(ROAS="","",ROAS-1)</f>
        <v/>
      </c>
      <c r="J9" s="15" t="n"/>
      <c r="K9" s="16" t="n"/>
      <c r="M9" s="17" t="n"/>
      <c r="N9" s="18" t="inlineStr">
        <is>
          <t>Перевірка когорти</t>
        </is>
      </c>
      <c r="O9" s="20">
        <f>IF(AND(Users_Start&lt;&gt;"",Paying_Users&lt;&gt;"",Users_Start&lt;&gt;Paying_Users),"Users at Start = Paying Users, Day 0. Зараз "&amp;Users_Start&amp;" ≠ "&amp;Paying_Users&amp;": CAC рахується на "&amp;Paying_Users&amp;", а Churn на "&amp;Users_Start&amp;". Перевірте, чи це та сама когорта.","")</f>
        <v/>
      </c>
    </row>
    <row r="10" ht="75" customHeight="1" s="82">
      <c r="B10" s="9" t="inlineStr">
        <is>
          <t>Cost, $ (собівартість і комісії, без Marketing Cost)</t>
        </is>
      </c>
      <c r="C10" s="37" t="n">
        <v>2000</v>
      </c>
      <c r="E10" s="9" t="inlineStr">
        <is>
          <t>Margin</t>
        </is>
      </c>
      <c r="F10" s="23">
        <f>IF(Cost_Value="","",IFERROR((Revenue-Cost_Value)/Revenue,""))</f>
        <v/>
      </c>
      <c r="G10" s="12" t="inlineStr">
        <is>
          <t>(Revenue − Cost_Value) / Revenue</t>
        </is>
      </c>
      <c r="H10" s="16" t="n"/>
      <c r="J10" s="17" t="n"/>
      <c r="K10" s="16" t="n"/>
      <c r="M10" s="17" t="n"/>
      <c r="N10" s="84" t="inlineStr">
        <is>
          <t>Шкала є орієнтиром (найкраще працює для підписок і додатків з повторними платежами). Для інших моделей порогові значення можуть бути іншими.</t>
        </is>
      </c>
    </row>
    <row r="11" ht="45.75" customHeight="1" s="82">
      <c r="B11" s="9" t="inlineStr">
        <is>
          <t>Paying Users, Day 0 (когорта: платні користувачі в день першої покупки)</t>
        </is>
      </c>
      <c r="C11" s="38" t="n">
        <v>400</v>
      </c>
      <c r="E11" s="9" t="inlineStr">
        <is>
          <t>Purchase frequency</t>
        </is>
      </c>
      <c r="F11" s="35">
        <f>IFERROR(Num_Purchases/Paying_Users,"")</f>
        <v/>
      </c>
      <c r="G11" s="12" t="inlineStr">
        <is>
          <t>Num_Purchases / Paying_Users</t>
        </is>
      </c>
      <c r="H11" s="16" t="n"/>
      <c r="J11" s="17" t="n"/>
      <c r="K11" s="16" t="n"/>
      <c r="M11" s="17" t="n"/>
      <c r="P11" s="72" t="n"/>
    </row>
    <row r="12" ht="45.75" customHeight="1" s="82" thickBot="1">
      <c r="B12" s="9" t="inlineStr">
        <is>
          <t>Paying Users, Day 30 (з когорти: купили ще раз протягом 30 днів)</t>
        </is>
      </c>
      <c r="C12" s="38" t="n">
        <v>300</v>
      </c>
      <c r="E12" s="9" t="inlineStr">
        <is>
          <t>Retention rate (30 днів)</t>
        </is>
      </c>
      <c r="F12" s="39">
        <f>IFERROR(Users_Still/Users_Start,"")</f>
        <v/>
      </c>
      <c r="G12" s="12" t="inlineStr">
        <is>
          <t>Users_Still / Users_Start</t>
        </is>
      </c>
      <c r="H12" s="13" t="inlineStr">
        <is>
          <t>Churn rate (30 днів)</t>
        </is>
      </c>
      <c r="I12" s="40">
        <f>IF(Retention_Rate="","",1-Retention_Rate)</f>
        <v/>
      </c>
      <c r="J12" s="15" t="n"/>
      <c r="K12" s="41" t="inlineStr">
        <is>
          <t>LTV, $</t>
        </is>
      </c>
      <c r="L12" s="42">
        <f>IFERROR(AOV*IF(Purch_Freq="",1,Purch_Freq)/Churn_Rate,"")</f>
        <v/>
      </c>
      <c r="M12" s="20" t="inlineStr">
        <is>
          <t>AOV * Purchase frequency / Churn_Rate (= ARPPU_період / Churn_Rate; період утримання = 1 / Churn; один період = 30 днів; якщо Purchases пусте -&gt; freq=1) Спрощення: ARPPU за період береться як стабільний дохід за кожен наступний період, тому перша покупка враховується повторно і може завищувати LTV. Це грубий орієнтир.</t>
        </is>
      </c>
    </row>
    <row r="13" ht="30.75" customHeight="1" s="82" thickBot="1">
      <c r="B13" s="9" t="inlineStr">
        <is>
          <t>DAU</t>
        </is>
      </c>
      <c r="C13" s="43" t="n">
        <v>1200</v>
      </c>
      <c r="E13" s="41" t="inlineStr">
        <is>
          <t>DAU/MAU</t>
        </is>
      </c>
      <c r="F13" s="44">
        <f>IFERROR(DAU/MAU,"")</f>
        <v/>
      </c>
      <c r="G13" s="45" t="inlineStr">
        <is>
          <t>DAU / MAU  (додатково)</t>
        </is>
      </c>
      <c r="H13" s="46" t="n"/>
      <c r="I13" s="47" t="n"/>
      <c r="J13" s="48" t="n"/>
      <c r="K13" s="41" t="inlineStr">
        <is>
          <t>LTV (за маржею), $</t>
        </is>
      </c>
      <c r="L13" s="97">
        <f>IF(OR(LTV="",Cost_Value="",Margin_Pct=""),"",LTV*Margin_Pct)</f>
        <v/>
      </c>
      <c r="M13" s="20" t="inlineStr">
        <is>
          <t>LTV × Margin</t>
        </is>
      </c>
      <c r="P13" s="72" t="n"/>
    </row>
    <row r="14" ht="30.75" customHeight="1" s="82" thickBot="1">
      <c r="B14" s="41" t="inlineStr">
        <is>
          <t>MAU</t>
        </is>
      </c>
      <c r="C14" s="49" t="n">
        <v>4000</v>
      </c>
      <c r="E14" s="41" t="inlineStr">
        <is>
          <t>Net Profit, $</t>
        </is>
      </c>
      <c r="F14" s="98">
        <f>IF(OR(Revenue="",Marketing_Cost="",Cost_Value=""),"",Revenue-Marketing_Cost-Cost_Value)</f>
        <v/>
      </c>
      <c r="G14" s="45" t="inlineStr">
        <is>
          <t>Net Profit = Revenue − Marketing_Cost − Cost_Value</t>
        </is>
      </c>
      <c r="H14" s="41" t="inlineStr">
        <is>
          <t>Payback (періодів по 30 днів)</t>
        </is>
      </c>
      <c r="I14" s="44">
        <f>IFERROR(CAC/(ARPPU*IF(Margin_Pct="",1,Margin_Pct)),"")</f>
        <v/>
      </c>
      <c r="J14" s="45" t="inlineStr">
        <is>
          <t>CAC / (ARPPU × Margin); без Cost Margin = 100% (припущення)</t>
        </is>
      </c>
    </row>
    <row r="15">
      <c r="P15" s="72" t="n"/>
    </row>
    <row r="16" ht="60" customHeight="1" s="82">
      <c r="B16" s="50">
        <f>IF(OR(Users_Start="",Retention_Min=""),"",IF(Retention_Min=0,"За поточних даних LTV/CAC ≥ 3 досягається за будь-якого утримання.","Щоб LTV/CAC був не менше 3, у когорті мають лишитись щонайменше "&amp;TEXT(Users_Start*Retention_Min,"0")&amp;" з "&amp;Users_Start&amp;" користувачів (Retention ≥ "&amp;TEXT(Retention_Min,"0%")&amp;")."))</f>
        <v/>
      </c>
      <c r="E16" s="9" t="inlineStr">
        <is>
          <t>Retention rate чим більше тим краще</t>
        </is>
      </c>
      <c r="F16">
        <f>IF(OR(Retention_Rate="",Retention_Min=""),"",Retention_Rate&gt;=Retention_Min)</f>
        <v/>
      </c>
      <c r="H16" s="13" t="inlineStr">
        <is>
          <t>Churn rate (відтік) чим менше тим краще</t>
        </is>
      </c>
      <c r="I16">
        <f>IF(OR(Churn_Rate="",Churn_Max=""),"",IF(Churn_Rate&lt;=Churn_Max,"Ok","Low"))</f>
        <v/>
      </c>
    </row>
    <row r="17">
      <c r="E17" s="9" t="inlineStr">
        <is>
          <t>Retention rate, мінімум для LTV/CAC ≥ 3</t>
        </is>
      </c>
      <c r="F17" s="39">
        <f>IF(Churn_Max="","",MAX(0,1-MIN(1,Churn_Max)))</f>
        <v/>
      </c>
      <c r="G17" s="12" t="inlineStr">
        <is>
          <t>1 − максимальний Churn</t>
        </is>
      </c>
      <c r="H17" s="9" t="inlineStr">
        <is>
          <t>Churn rate, максимум для LTV/CAC ≥ 3</t>
        </is>
      </c>
      <c r="I17" s="39">
        <f>IFERROR(ARPPU*IF(Margin_Pct="",1,Margin_Pct)/(3*CAC),"")</f>
        <v/>
      </c>
      <c r="J17" s="45" t="inlineStr">
        <is>
          <t>ARPPU × Margin / (3 × CAC); без Cost Margin = 100% (припущення)</t>
        </is>
      </c>
      <c r="P17" s="72" t="n"/>
    </row>
    <row r="18">
      <c r="P18" s="74" t="n"/>
    </row>
    <row r="19"/>
    <row r="20" ht="15" customHeight="1" s="82">
      <c r="B20" s="89" t="inlineStr">
        <is>
          <t>РОЗБИВКА ЗА КАНАЛАМИ (до 5 рядків: ті самі CAC / ROAS по кожному каналу)</t>
        </is>
      </c>
      <c r="C20" s="90" t="n"/>
      <c r="D20" s="90" t="n"/>
      <c r="E20" s="90" t="n"/>
      <c r="F20" s="90" t="n"/>
      <c r="G20" s="91" t="n"/>
      <c r="I20" s="83" t="n"/>
      <c r="P20" s="76" t="n"/>
    </row>
    <row r="21">
      <c r="B21" s="3" t="inlineStr">
        <is>
          <t>Канал</t>
        </is>
      </c>
      <c r="C21" s="3" t="inlineStr">
        <is>
          <t>Marketing Cost, $</t>
        </is>
      </c>
      <c r="D21" s="3" t="inlineStr">
        <is>
          <t>Paying Users</t>
        </is>
      </c>
      <c r="E21" s="3" t="inlineStr">
        <is>
          <t>Revenue, $</t>
        </is>
      </c>
      <c r="F21" s="3" t="inlineStr">
        <is>
          <t>CAC каналу, $</t>
        </is>
      </c>
      <c r="G21" s="3" t="inlineStr">
        <is>
          <t>ROAS каналу</t>
        </is>
      </c>
    </row>
    <row r="22">
      <c r="B22" s="51" t="inlineStr">
        <is>
          <t>Канал A</t>
        </is>
      </c>
      <c r="C22" s="52" t="n">
        <v>2500</v>
      </c>
      <c r="D22" s="53" t="n">
        <v>250</v>
      </c>
      <c r="E22" s="52" t="n">
        <v>5000</v>
      </c>
      <c r="F22" s="54">
        <f>IFERROR(C22/D22,"")</f>
        <v/>
      </c>
      <c r="G22" s="55">
        <f>IFERROR(E22/C22,"")</f>
        <v/>
      </c>
    </row>
    <row r="23" ht="15" customHeight="1" s="82">
      <c r="B23" s="51" t="inlineStr">
        <is>
          <t>Канал B</t>
        </is>
      </c>
      <c r="C23" s="52" t="n">
        <v>1500</v>
      </c>
      <c r="D23" s="53" t="n">
        <v>100</v>
      </c>
      <c r="E23" s="52" t="n">
        <v>2000</v>
      </c>
      <c r="F23" s="54">
        <f>IFERROR(C23/D23,"")</f>
        <v/>
      </c>
      <c r="G23" s="55">
        <f>IFERROR(E23/C23,"")</f>
        <v/>
      </c>
      <c r="I23" s="83" t="n"/>
    </row>
    <row r="24">
      <c r="B24" s="51" t="inlineStr">
        <is>
          <t>Канал C</t>
        </is>
      </c>
      <c r="C24" s="52" t="n">
        <v>1000</v>
      </c>
      <c r="D24" s="53" t="n">
        <v>50</v>
      </c>
      <c r="E24" s="52" t="n">
        <v>1000</v>
      </c>
      <c r="F24" s="54">
        <f>IFERROR(C24/D24,"")</f>
        <v/>
      </c>
      <c r="G24" s="55">
        <f>IFERROR(E24/C24,"")</f>
        <v/>
      </c>
    </row>
    <row r="25">
      <c r="B25" s="51" t="n"/>
      <c r="C25" s="52" t="n"/>
      <c r="D25" s="53" t="n"/>
      <c r="E25" s="52" t="n"/>
      <c r="F25" s="54">
        <f>IFERROR(C25/D25,"")</f>
        <v/>
      </c>
      <c r="G25" s="55">
        <f>IFERROR(E25/C25,"")</f>
        <v/>
      </c>
    </row>
    <row r="26" ht="15.75" customHeight="1" s="82">
      <c r="B26" s="51" t="n"/>
      <c r="C26" s="56" t="n"/>
      <c r="D26" s="57" t="n"/>
      <c r="E26" s="56" t="n"/>
      <c r="F26" s="54">
        <f>IFERROR(C26/D26,"")</f>
        <v/>
      </c>
      <c r="G26" s="55">
        <f>IFERROR(E26/C26,"")</f>
        <v/>
      </c>
      <c r="I26" s="83" t="n"/>
    </row>
    <row r="27" ht="15.75" customHeight="1" s="82">
      <c r="B27" s="58" t="inlineStr">
        <is>
          <t>РАЗОМ (суми)</t>
        </is>
      </c>
      <c r="C27" s="59">
        <f>SUM(C22:C26)</f>
        <v/>
      </c>
      <c r="D27" s="60">
        <f>SUM(D22:D26)</f>
        <v/>
      </c>
      <c r="E27" s="59">
        <f>SUM(E22:E26)</f>
        <v/>
      </c>
    </row>
    <row r="28" ht="45" customHeight="1" s="82">
      <c r="B28" s="61" t="inlineStr">
        <is>
          <t>Контроль: різниця «сума по каналах − підсумок» (має бути 0; інакше внесено не всі канали)</t>
        </is>
      </c>
      <c r="C28" s="62">
        <f>C27-Marketing_Cost</f>
        <v/>
      </c>
      <c r="D28" s="63">
        <f>D27-Paying_Users</f>
        <v/>
      </c>
      <c r="E28" s="62">
        <f>E27-Revenue</f>
        <v/>
      </c>
    </row>
    <row r="29" ht="15" customHeight="1" s="82">
      <c r="I29" s="81" t="n"/>
    </row>
    <row r="30">
      <c r="B30" t="inlineStr">
        <is>
          <t>СЦЕНАРІЇ A / Б / В — покриття реальних кейсів (Paying=400, Churn=25%, CAC=12.5; порівняйте з живим L12/O4)</t>
        </is>
      </c>
    </row>
    <row r="31">
      <c r="B31" t="inlineStr">
        <is>
          <t>Сценарій</t>
        </is>
      </c>
      <c r="C31" t="inlineStr">
        <is>
          <t>Purchases</t>
        </is>
      </c>
      <c r="D31" t="inlineStr">
        <is>
          <t>Revenue, $</t>
        </is>
      </c>
      <c r="E31" t="inlineStr">
        <is>
          <t>AOV, $</t>
        </is>
      </c>
      <c r="F31" t="inlineStr">
        <is>
          <t>freq</t>
        </is>
      </c>
      <c r="G31" t="inlineStr">
        <is>
          <t>ARPPU_період, $</t>
        </is>
      </c>
      <c r="H31" t="inlineStr">
        <is>
          <t>LTV, $</t>
        </is>
      </c>
      <c r="I31" t="inlineStr">
        <is>
          <t>LTV/CAC</t>
        </is>
      </c>
    </row>
    <row r="32">
      <c r="B32" t="inlineStr">
        <is>
          <t>А разова</t>
        </is>
      </c>
      <c r="C32" t="n">
        <v>400</v>
      </c>
      <c r="D32" t="n">
        <v>8000</v>
      </c>
      <c r="E32">
        <f t="array" ref="E32">IFERROR(D32/C32,"")</f>
        <v/>
      </c>
      <c r="F32">
        <f>IFERROR(C32/Paying_Users,"")</f>
        <v/>
      </c>
      <c r="G32">
        <f>IFERROR(D32/Paying_Users,"")</f>
        <v/>
      </c>
      <c r="H32">
        <f>IFERROR(E32*F32/Churn_Rate,"")</f>
        <v/>
      </c>
      <c r="I32">
        <f>IFERROR(H32/CAC,"")</f>
        <v/>
      </c>
    </row>
    <row r="33">
      <c r="B33" t="inlineStr">
        <is>
          <t>Б повтори коректно</t>
        </is>
      </c>
      <c r="C33" t="n">
        <v>1000</v>
      </c>
      <c r="D33" t="n">
        <v>20000</v>
      </c>
      <c r="E33">
        <f t="array" ref="E33">IFERROR(D33/C33,"")</f>
        <v/>
      </c>
      <c r="F33">
        <f>IFERROR(C33/Paying_Users,"")</f>
        <v/>
      </c>
      <c r="G33">
        <f>IFERROR(D33/Paying_Users,"")</f>
        <v/>
      </c>
      <c r="H33">
        <f>IFERROR(E33*F33/Churn_Rate,"")</f>
        <v/>
      </c>
      <c r="I33">
        <f>IFERROR(H33/CAC,"")</f>
        <v/>
      </c>
    </row>
    <row r="34">
      <c r="B34" t="inlineStr">
        <is>
          <t>В пастка (шт. без грошей)</t>
        </is>
      </c>
      <c r="C34" t="n">
        <v>1000</v>
      </c>
      <c r="D34" t="n">
        <v>8000</v>
      </c>
      <c r="E34">
        <f t="array" ref="E34">IFERROR(D34/C34,"")</f>
        <v/>
      </c>
      <c r="F34">
        <f>IFERROR(C34/Paying_Users,"")</f>
        <v/>
      </c>
      <c r="G34">
        <f>IFERROR(D34/Paying_Users,"")</f>
        <v/>
      </c>
      <c r="H34">
        <f>IFERROR(E34*F34/Churn_Rate,"")</f>
        <v/>
      </c>
      <c r="I34">
        <f>IFERROR(H34/CAC,"")</f>
        <v/>
      </c>
    </row>
    <row r="35">
      <c r="B35" t="inlineStr">
        <is>
          <t>Кейс В: AOV впав 20-&gt;8 — перевірте, чи додали повторний дохід. Purchases без Revenue не ростить LTV (це правильно економічно).</t>
        </is>
      </c>
    </row>
    <row r="36">
      <c r="B36" t="inlineStr">
        <is>
          <t>Звірка: А LTV=80 LTV/CAC=6.4; Б LTV=200 LTV/CAC=16; В LTV=80 LTV/CAC=6.4. Живий L12/O4 збігається з кейсом А.</t>
        </is>
      </c>
    </row>
    <row r="37">
      <c r="B37">
        <f>IF(AND(Purch_Freq&lt;&gt;"",Purch_Freq&gt;1,AOV&lt;&gt;"",ARPPU&lt;&gt;""),"freq="&amp;TEXT(Purch_Freq,"0.0")&amp;": AOV×freq узгоджено з ARPPU_період ("&amp;TEXT(AOV*Purch_Freq,"0.00")&amp;"). Якщо повтори додано тільки в штуках, AOV падає — перевірте повторний дохід за ті самі 30 днів.","")</f>
        <v/>
      </c>
    </row>
    <row r="38">
      <c r="B38">
        <f>IF(AND(Num_Purchases&lt;&gt;"",Paying_Users&lt;&gt;"",Num_Purchases&lt;Paying_Users),"⚠ Purchases &lt; Paying: у кожного платного мінімум одна покупка — перевірте дані.","")</f>
        <v/>
      </c>
    </row>
  </sheetData>
  <mergeCells count="8">
    <mergeCell ref="B20:G20"/>
    <mergeCell ref="E2:G2"/>
    <mergeCell ref="B2:C2"/>
    <mergeCell ref="K2:M2"/>
    <mergeCell ref="N2:P2"/>
    <mergeCell ref="N10:O10"/>
    <mergeCell ref="B1:P1"/>
    <mergeCell ref="H2:J2"/>
  </mergeCells>
  <dataValidations count="2">
    <dataValidation sqref="C4 C6:C7 C9 C11:C14" showDropDown="0" showInputMessage="0" showErrorMessage="1" allowBlank="0" errorTitle="Перевірка" error="Число має бути цілим і ≥ 0." type="whole" operator="greaterThanOrEqual">
      <formula1>0</formula1>
      <formula2>0</formula2>
    </dataValidation>
    <dataValidation sqref="C5 C8 C10" showDropDown="0" showInputMessage="0" showErrorMessage="1" allowBlank="0" errorTitle="Перевірка" error="Число має бути ≥ 0." type="decimal" operator="greaterThanOrEqual">
      <formula1>0</formula1>
      <formula2>0</formula2>
    </dataValidation>
  </dataValidations>
  <pageMargins left="0.75" right="0.75" top="1" bottom="1" header="0.511811023622047" footer="0.511811023622047"/>
  <pageSetup orientation="landscape" fitToHeight="0" horizontalDpi="300" verticalDpi="300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1:E29"/>
  <sheetViews>
    <sheetView showGridLines="0" zoomScaleNormal="100" workbookViewId="0">
      <selection activeCell="A1" sqref="A1"/>
    </sheetView>
  </sheetViews>
  <sheetFormatPr baseColWidth="8" defaultColWidth="8.7109375" defaultRowHeight="15"/>
  <cols>
    <col width="26" customWidth="1" style="82" min="2" max="2"/>
    <col width="44" customWidth="1" style="82" min="3" max="3"/>
    <col width="18" customWidth="1" style="82" min="4" max="4"/>
    <col width="56" customWidth="1" style="82" min="5" max="5"/>
  </cols>
  <sheetData>
    <row r="1" ht="18.75" customHeight="1" s="82">
      <c r="B1" s="64" t="inlineStr">
        <is>
          <t>Пояснення до полів, які легко сплутати</t>
        </is>
      </c>
    </row>
    <row r="2" ht="33.75" customHeight="1" s="82">
      <c r="B2" s="96" t="inlineStr">
        <is>
          <t>Тип активності в цій моделі: повторні покупки (не разова покупка і не підписка). «Активний» = зробив хоча б одну покупку в період 30 днів.</t>
        </is>
      </c>
    </row>
    <row r="4">
      <c r="B4" s="65" t="inlineStr">
        <is>
          <t>Поле</t>
        </is>
      </c>
      <c r="C4" s="65" t="inlineStr">
        <is>
          <t>Що рахується</t>
        </is>
      </c>
      <c r="D4" s="65" t="inlineStr">
        <is>
          <t>Одиниця</t>
        </is>
      </c>
      <c r="E4" s="65" t="inlineStr">
        <is>
          <t>Пояснення</t>
        </is>
      </c>
    </row>
    <row r="5" ht="48" customHeight="1" s="82">
      <c r="B5" s="66" t="inlineStr">
        <is>
          <t>Paying Users, Day 0</t>
        </is>
      </c>
      <c r="C5" s="66" t="inlineStr">
        <is>
          <t>Платні користувачі когорти в день першої покупки</t>
        </is>
      </c>
      <c r="D5" s="66" t="inlineStr">
        <is>
          <t>люди</t>
        </is>
      </c>
      <c r="E5" s="66" t="inlineStr">
        <is>
          <t>Кожна людина рахується один раз. Це база для Retention і Churn.</t>
        </is>
      </c>
    </row>
    <row r="6" ht="48" customHeight="1" s="82">
      <c r="B6" s="66" t="inlineStr">
        <is>
          <t>Paying Users, Day 30</t>
        </is>
      </c>
      <c r="C6" s="66" t="inlineStr">
        <is>
          <t>З цієї когорти ті, хто купив ще раз протягом 30 днів</t>
        </is>
      </c>
      <c r="D6" s="66" t="inlineStr">
        <is>
          <t>люди</t>
        </is>
      </c>
      <c r="E6" s="66" t="inlineStr">
        <is>
          <t>Кожна людина один раз, навіть якщо купила кілька разів. Не може бути більшим за Day 0.</t>
        </is>
      </c>
    </row>
    <row r="7" ht="48" customHeight="1" s="82">
      <c r="B7" s="66" t="inlineStr">
        <is>
          <t>Number of Purchases</t>
        </is>
      </c>
      <c r="C7" s="66" t="inlineStr">
        <is>
          <t>Усі покупки когорти за період</t>
        </is>
      </c>
      <c r="D7" s="66" t="inlineStr">
        <is>
          <t>покупки (шт.)</t>
        </is>
      </c>
      <c r="E7" s="66" t="inlineStr">
        <is>
          <t>Може бути більше за кількість людей, якщо хтось купує кілька разів. Сама по собі зміна Purchases без зміни Revenue LTV не змінює: поле розкладає ARPPU на AOV і частоту покупок.</t>
        </is>
      </c>
    </row>
    <row r="8" ht="48" customHeight="1" s="82">
      <c r="B8" s="66" t="inlineStr">
        <is>
          <t>Revenue, $</t>
        </is>
      </c>
      <c r="C8" s="66" t="inlineStr">
        <is>
          <t>Сумарний дохід когорти за 30 днів (перші + повторні покупки)</t>
        </is>
      </c>
      <c r="D8" s="66" t="inlineStr">
        <is>
          <t>$</t>
        </is>
      </c>
      <c r="E8" s="66" t="inlineStr">
        <is>
          <t>LTV росте, лише коли разом із покупками зростає Revenue.</t>
        </is>
      </c>
    </row>
    <row r="9" ht="48" customHeight="1" s="82">
      <c r="B9" s="66" t="inlineStr">
        <is>
          <t>Cost, $</t>
        </is>
      </c>
      <c r="C9" s="66" t="inlineStr">
        <is>
          <t>Собівартість і комісії (магазин застосунків, платежі, сервери)</t>
        </is>
      </c>
      <c r="D9" s="66" t="inlineStr">
        <is>
          <t>$</t>
        </is>
      </c>
      <c r="E9" s="66" t="inlineStr">
        <is>
          <t>Marketing Cost сюди не входить. Він рахується окремо (CAC, ROAS, ROMI).</t>
        </is>
      </c>
    </row>
    <row r="11">
      <c r="B11" s="67" t="inlineStr">
        <is>
          <t>Приклад (ілюстрація, не вхід калькулятора): людей стало менше, а покупок більше</t>
        </is>
      </c>
    </row>
    <row r="12">
      <c r="B12" s="65" t="n"/>
      <c r="C12" s="65" t="inlineStr">
        <is>
          <t>Paying Users (людей)</t>
        </is>
      </c>
      <c r="D12" s="65" t="inlineStr">
        <is>
          <t>Покупок (шт.)</t>
        </is>
      </c>
      <c r="E12" s="65" t="inlineStr">
        <is>
          <t>Покупок на людину</t>
        </is>
      </c>
    </row>
    <row r="13">
      <c r="B13" s="68" t="inlineStr">
        <is>
          <t>Day 0</t>
        </is>
      </c>
      <c r="C13" s="69" t="n">
        <v>400</v>
      </c>
      <c r="D13" s="69" t="n">
        <v>400</v>
      </c>
      <c r="E13" s="70">
        <f>D13/C13</f>
        <v/>
      </c>
    </row>
    <row r="14">
      <c r="B14" s="68" t="inlineStr">
        <is>
          <t>Day 30</t>
        </is>
      </c>
      <c r="C14" s="69" t="n">
        <v>300</v>
      </c>
      <c r="D14" s="69" t="n">
        <v>600</v>
      </c>
      <c r="E14" s="70">
        <f>D14/C14</f>
        <v/>
      </c>
    </row>
    <row r="16" ht="63.75" customHeight="1" s="82">
      <c r="B16" s="96" t="inlineStr">
        <is>
          <t>Припущення прикладу: 300 людей зробили в середньому по 2 покупки = 600 покупок. Людей менше (400 → 300), покупок більше (400 → 600), бо ті, хто залишився, купують частіше. Тому Retention і Churn рахуються за людьми, а не за покупками.</t>
        </is>
      </c>
    </row>
    <row r="17">
      <c r="B17" s="67" t="inlineStr">
        <is>
          <t>Нові показники</t>
        </is>
      </c>
    </row>
    <row r="18">
      <c r="B18" s="65" t="inlineStr">
        <is>
          <t>Показник</t>
        </is>
      </c>
      <c r="C18" s="65" t="inlineStr">
        <is>
          <t>Формула</t>
        </is>
      </c>
      <c r="D18" s="65" t="inlineStr">
        <is>
          <t>Що означає</t>
        </is>
      </c>
    </row>
    <row r="19" ht="75" customHeight="1" s="82">
      <c r="B19" s="66" t="inlineStr">
        <is>
          <t>LTV (за маржею)</t>
        </is>
      </c>
      <c r="C19" s="66" t="inlineStr">
        <is>
          <t>LTV × Margin</t>
        </is>
      </c>
      <c r="D19" s="66" t="inlineStr">
        <is>
          <t>Скільки прибутку (після собівартості й комісій) приносить платний користувач за весь час життя.</t>
        </is>
      </c>
    </row>
    <row r="20" ht="45" customHeight="1" s="82">
      <c r="B20" s="66" t="inlineStr">
        <is>
          <t>LTV / CAC (за маржею)</t>
        </is>
      </c>
      <c r="C20" s="66" t="inlineStr">
        <is>
          <t>LTV (за маржею) / CAC</t>
        </is>
      </c>
      <c r="D20" s="66" t="inlineStr">
        <is>
          <t>З ним порівнюють CAC; точніший за LTV / CAC за виручкою.</t>
        </is>
      </c>
    </row>
    <row r="21" ht="60" customHeight="1" s="82">
      <c r="B21" s="66" t="inlineStr">
        <is>
          <t>Net Profit</t>
        </is>
      </c>
      <c r="C21" s="66" t="inlineStr">
        <is>
          <t>Revenue − Marketing Cost − Cost</t>
        </is>
      </c>
      <c r="D21" s="66" t="inlineStr">
        <is>
          <t>Скільки лишилось після реклами й витрат на продукт за кампанію.</t>
        </is>
      </c>
    </row>
    <row r="22" ht="75" customHeight="1" s="82">
      <c r="B22" s="66" t="inlineStr">
        <is>
          <t>Payback</t>
        </is>
      </c>
      <c r="C22" s="66" t="inlineStr">
        <is>
          <t>CAC / (ARPPU × Margin)</t>
        </is>
      </c>
      <c r="D22" s="66" t="inlineStr">
        <is>
          <t>Скільки періодів по 30 днів потрібно, щоб повернути CAC; менше 1 — в межах 30 днів.</t>
        </is>
      </c>
    </row>
    <row r="23">
      <c r="B23" s="67" t="inlineStr">
        <is>
          <t>Шкала рішення</t>
        </is>
      </c>
    </row>
    <row r="24">
      <c r="B24" s="65" t="inlineStr">
        <is>
          <t>LTV/CAC</t>
        </is>
      </c>
      <c r="C24" s="65" t="inlineStr">
        <is>
          <t>Рішення</t>
        </is>
      </c>
    </row>
    <row r="25" ht="30" customHeight="1" s="82">
      <c r="B25" s="66" t="inlineStr">
        <is>
          <t>менше 1</t>
        </is>
      </c>
      <c r="C25" s="66" t="inlineStr">
        <is>
          <t>Не масштабувати: кожен залучений користувач збитковий</t>
        </is>
      </c>
    </row>
    <row r="26" ht="30" customHeight="1" s="82">
      <c r="B26" s="66" t="inlineStr">
        <is>
          <t>1-2</t>
        </is>
      </c>
      <c r="C26" s="66" t="inlineStr">
        <is>
          <t>Не масштабувати: спершу покращити утримання, чек або CAC</t>
        </is>
      </c>
    </row>
    <row r="27" ht="30" customHeight="1" s="82">
      <c r="B27" s="66" t="inlineStr">
        <is>
          <t>2-3</t>
        </is>
      </c>
      <c r="C27" s="66" t="inlineStr">
        <is>
          <t>Масштабувати обережно, малими кроками</t>
        </is>
      </c>
    </row>
    <row r="28" ht="30" customHeight="1" s="82">
      <c r="B28" s="66" t="inlineStr">
        <is>
          <t>3-5</t>
        </is>
      </c>
      <c r="C28" s="66" t="inlineStr">
        <is>
          <t>Можна масштабувати</t>
        </is>
      </c>
    </row>
    <row r="29" ht="30" customHeight="1" s="82">
      <c r="B29" s="66" t="inlineStr">
        <is>
          <t>5 і більше</t>
        </is>
      </c>
      <c r="C29" s="66" t="inlineStr">
        <is>
          <t>Дуже вигідно: можна швидко збільшувати бюджет</t>
        </is>
      </c>
    </row>
  </sheetData>
  <mergeCells count="2">
    <mergeCell ref="B2:E2"/>
    <mergeCell ref="B16:E16"/>
  </mergeCells>
  <pageMargins left="0.75" right="0.75" top="1" bottom="1" header="0.511811023622047" footer="0.511811023622047"/>
  <pageSetup orientation="portrait" paperSize="9" horizontalDpi="300" verticalDpi="3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2026-10-06T07:56:08Z</dcterms:created>
  <dcterms:modified xmlns:dcterms="http://purl.org/dc/terms/" xmlns:xsi="http://www.w3.org/2001/XMLSchema-instance" xsi:type="dcterms:W3CDTF">2026-10-08T11:03:30Z</dcterms:modified>
  <cp:lastModifiedBy>Artem Makovskyi</cp:lastModifiedBy>
  <cp:revision>0</cp:revision>
</cp:coreProperties>
</file>